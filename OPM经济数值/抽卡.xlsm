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1901" codeName="{0111311B-0956-48F4-D2DB-CD56BCBECE7C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xuhaihua\Desktop\OPM经济数值\"/>
    </mc:Choice>
  </mc:AlternateContent>
  <xr:revisionPtr revIDLastSave="0" documentId="13_ncr:1_{33F80E06-BF92-4CF2-BCC3-CD0AF897DCF5}" xr6:coauthVersionLast="43" xr6:coauthVersionMax="43" xr10:uidLastSave="{00000000-0000-0000-0000-000000000000}"/>
  <bookViews>
    <workbookView xWindow="-120" yWindow="-120" windowWidth="29040" windowHeight="15840" xr2:uid="{00000000-000D-0000-FFFF-FFFF00000000}"/>
  </bookViews>
  <sheets>
    <sheet name="Sheet1" sheetId="1" r:id="rId1"/>
  </sheets>
  <calcPr calcId="181029" concurrentCalc="0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</xcalcf:calcFeatures>
    </ext>
  </extLst>
</workbook>
</file>

<file path=xl/calcChain.xml><?xml version="1.0" encoding="utf-8"?>
<calcChain xmlns="http://schemas.openxmlformats.org/spreadsheetml/2006/main">
  <c r="K5" i="1" l="1"/>
  <c r="J5" i="1"/>
  <c r="H14" i="1"/>
  <c r="I7" i="1"/>
  <c r="H8" i="1"/>
  <c r="I8" i="1"/>
  <c r="H9" i="1"/>
  <c r="I9" i="1"/>
  <c r="H10" i="1"/>
  <c r="I10" i="1"/>
  <c r="H11" i="1"/>
  <c r="I11" i="1"/>
  <c r="H12" i="1"/>
  <c r="I12" i="1"/>
  <c r="H13" i="1"/>
  <c r="I13" i="1"/>
  <c r="H7" i="1"/>
  <c r="I6" i="1"/>
  <c r="H6" i="1"/>
  <c r="I5" i="1"/>
</calcChain>
</file>

<file path=xl/sharedStrings.xml><?xml version="1.0" encoding="utf-8"?>
<sst xmlns="http://schemas.openxmlformats.org/spreadsheetml/2006/main" count="20" uniqueCount="12">
  <si>
    <t>R</t>
    <phoneticPr fontId="1" type="noConversion"/>
  </si>
  <si>
    <t>SSR</t>
    <phoneticPr fontId="1" type="noConversion"/>
  </si>
  <si>
    <t>SR</t>
    <phoneticPr fontId="1" type="noConversion"/>
  </si>
  <si>
    <t>OTHER</t>
    <phoneticPr fontId="1" type="noConversion"/>
  </si>
  <si>
    <t>SSR AVOID</t>
    <phoneticPr fontId="1" type="noConversion"/>
  </si>
  <si>
    <t>NORMAL</t>
    <phoneticPr fontId="1" type="noConversion"/>
  </si>
  <si>
    <t>SSR保底</t>
    <phoneticPr fontId="1" type="noConversion"/>
  </si>
  <si>
    <t>SR保底</t>
    <phoneticPr fontId="1" type="noConversion"/>
  </si>
  <si>
    <t>R保底</t>
    <phoneticPr fontId="1" type="noConversion"/>
  </si>
  <si>
    <t>RBottom</t>
    <phoneticPr fontId="1" type="noConversion"/>
  </si>
  <si>
    <t>SRBottom</t>
    <phoneticPr fontId="1" type="noConversion"/>
  </si>
  <si>
    <t>计算没有SR和SSR保底时的R卡概率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</si>
</sst>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1"/>
      <color theme="1"/>
      <name val="等线"/>
      <family val="2"/>
      <scheme val="minor"/>
    </font>
    <font>
      <sz val="9"/>
      <name val="等线"/>
      <family val="3"/>
      <charset val="134"/>
      <scheme val="minor"/>
    </font>
    <font>
      <b/>
      <sz val="11"/>
      <color theme="1"/>
      <name val="等线"/>
      <family val="3"/>
      <charset val="134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2">
    <xf numFmtId="0" fontId="0" fillId="0" borderId="0" xfId="0"/>
    <xf numFmtId="0" fontId="2" fillId="0" borderId="0" xfId="0" applyFont="1"/>
  </cellXfs>
  <cellStyles count="1">
    <cellStyle name="常规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2:K20"/>
  <sheetViews>
    <sheetView tabSelected="1" workbookViewId="0">
      <selection activeCell="L19" sqref="L19"/>
    </sheetView>
  </sheetViews>
  <sheetFormatPr defaultRowHeight="14.25" x14ac:dyDescent="0.2"/>
  <sheetData>
    <row r="2" spans="1:11" x14ac:dyDescent="0.2">
      <c r="A2" t="s">
        <v>5</v>
      </c>
      <c r="D2" t="s">
        <v>6</v>
      </c>
      <c r="E2">
        <v>79</v>
      </c>
    </row>
    <row r="3" spans="1:11" x14ac:dyDescent="0.2">
      <c r="A3" t="s">
        <v>0</v>
      </c>
      <c r="B3">
        <v>1100</v>
      </c>
      <c r="D3" t="s">
        <v>7</v>
      </c>
      <c r="E3">
        <v>24</v>
      </c>
    </row>
    <row r="4" spans="1:11" x14ac:dyDescent="0.2">
      <c r="A4" t="s">
        <v>2</v>
      </c>
      <c r="B4">
        <v>530</v>
      </c>
      <c r="D4" t="s">
        <v>8</v>
      </c>
      <c r="E4">
        <v>9</v>
      </c>
      <c r="G4" s="1" t="s">
        <v>11</v>
      </c>
    </row>
    <row r="5" spans="1:11" x14ac:dyDescent="0.2">
      <c r="A5" t="s">
        <v>1</v>
      </c>
      <c r="B5">
        <v>130</v>
      </c>
      <c r="G5">
        <v>1</v>
      </c>
      <c r="H5">
        <v>0.17599999999999999</v>
      </c>
      <c r="I5">
        <f>1-H5</f>
        <v>0.82400000000000007</v>
      </c>
      <c r="J5">
        <f>SUMPRODUCT(G5:G14,H5:H14)</f>
        <v>4.8619208951929354</v>
      </c>
      <c r="K5">
        <f>1/J5</f>
        <v>0.20568002268171767</v>
      </c>
    </row>
    <row r="6" spans="1:11" x14ac:dyDescent="0.2">
      <c r="A6" t="s">
        <v>3</v>
      </c>
      <c r="B6">
        <v>8240</v>
      </c>
      <c r="G6">
        <v>2</v>
      </c>
      <c r="H6">
        <f>I5*0.176</f>
        <v>0.14502400000000001</v>
      </c>
      <c r="I6">
        <f>I5-H6</f>
        <v>0.67897600000000002</v>
      </c>
    </row>
    <row r="7" spans="1:11" x14ac:dyDescent="0.2">
      <c r="G7">
        <v>3</v>
      </c>
      <c r="H7">
        <f t="shared" ref="H7:H13" si="0">I6*0.176</f>
        <v>0.119499776</v>
      </c>
      <c r="I7">
        <f t="shared" ref="I7:I13" si="1">I6-H7</f>
        <v>0.55947622399999997</v>
      </c>
    </row>
    <row r="8" spans="1:11" x14ac:dyDescent="0.2">
      <c r="A8" t="s">
        <v>4</v>
      </c>
      <c r="G8">
        <v>4</v>
      </c>
      <c r="H8">
        <f t="shared" si="0"/>
        <v>9.8467815423999988E-2</v>
      </c>
      <c r="I8">
        <f t="shared" si="1"/>
        <v>0.46100840857600001</v>
      </c>
    </row>
    <row r="9" spans="1:11" x14ac:dyDescent="0.2">
      <c r="A9" t="s">
        <v>2</v>
      </c>
      <c r="B9">
        <v>530</v>
      </c>
      <c r="G9">
        <v>5</v>
      </c>
      <c r="H9">
        <f t="shared" si="0"/>
        <v>8.113747990937599E-2</v>
      </c>
      <c r="I9">
        <f t="shared" si="1"/>
        <v>0.37987092866662403</v>
      </c>
    </row>
    <row r="10" spans="1:11" x14ac:dyDescent="0.2">
      <c r="A10" t="s">
        <v>0</v>
      </c>
      <c r="B10">
        <v>1100</v>
      </c>
      <c r="G10">
        <v>6</v>
      </c>
      <c r="H10">
        <f t="shared" si="0"/>
        <v>6.6857283445325821E-2</v>
      </c>
      <c r="I10">
        <f t="shared" si="1"/>
        <v>0.31301364522129821</v>
      </c>
    </row>
    <row r="11" spans="1:11" x14ac:dyDescent="0.2">
      <c r="A11" t="s">
        <v>3</v>
      </c>
      <c r="B11">
        <v>8370</v>
      </c>
      <c r="G11">
        <v>7</v>
      </c>
      <c r="H11">
        <f t="shared" si="0"/>
        <v>5.5090401558948482E-2</v>
      </c>
      <c r="I11">
        <f t="shared" si="1"/>
        <v>0.25792324366234975</v>
      </c>
    </row>
    <row r="12" spans="1:11" x14ac:dyDescent="0.2">
      <c r="G12">
        <v>8</v>
      </c>
      <c r="H12">
        <f t="shared" si="0"/>
        <v>4.5394490884573556E-2</v>
      </c>
      <c r="I12">
        <f t="shared" si="1"/>
        <v>0.21252875277777619</v>
      </c>
    </row>
    <row r="13" spans="1:11" x14ac:dyDescent="0.2">
      <c r="A13" t="s">
        <v>9</v>
      </c>
      <c r="G13">
        <v>9</v>
      </c>
      <c r="H13">
        <f t="shared" si="0"/>
        <v>3.7405060488888607E-2</v>
      </c>
      <c r="I13">
        <f t="shared" si="1"/>
        <v>0.17512369228888758</v>
      </c>
    </row>
    <row r="14" spans="1:11" x14ac:dyDescent="0.2">
      <c r="A14" t="s">
        <v>0</v>
      </c>
      <c r="B14">
        <v>9340</v>
      </c>
      <c r="G14">
        <v>10</v>
      </c>
      <c r="H14">
        <f>I13</f>
        <v>0.17512369228888758</v>
      </c>
    </row>
    <row r="15" spans="1:11" x14ac:dyDescent="0.2">
      <c r="A15" t="s">
        <v>2</v>
      </c>
      <c r="B15">
        <v>530</v>
      </c>
    </row>
    <row r="16" spans="1:11" x14ac:dyDescent="0.2">
      <c r="A16" t="s">
        <v>1</v>
      </c>
      <c r="B16">
        <v>130</v>
      </c>
    </row>
    <row r="18" spans="1:2" x14ac:dyDescent="0.2">
      <c r="A18" t="s">
        <v>10</v>
      </c>
    </row>
    <row r="19" spans="1:2" x14ac:dyDescent="0.2">
      <c r="A19" t="s">
        <v>2</v>
      </c>
      <c r="B19">
        <v>9870</v>
      </c>
    </row>
    <row r="20" spans="1:2" x14ac:dyDescent="0.2">
      <c r="A20" t="s">
        <v>1</v>
      </c>
      <c r="B20">
        <v>130</v>
      </c>
    </row>
  </sheetData>
  <phoneticPr fontId="1" type="noConversion"/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徐海华</dc:creator>
  <cp:lastModifiedBy>sky</cp:lastModifiedBy>
  <dcterms:created xsi:type="dcterms:W3CDTF">2015-06-05T18:19:34Z</dcterms:created>
  <dcterms:modified xsi:type="dcterms:W3CDTF">2019-08-20T11:55:53Z</dcterms:modified>
</cp:coreProperties>
</file>